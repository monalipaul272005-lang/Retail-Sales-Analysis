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C46B5658FE92EA/Documents/"/>
    </mc:Choice>
  </mc:AlternateContent>
  <xr:revisionPtr revIDLastSave="0" documentId="8_{361F4773-E564-47EF-93E2-9BF6D9A9F1C7}" xr6:coauthVersionLast="47" xr6:coauthVersionMax="47" xr10:uidLastSave="{00000000-0000-0000-0000-000000000000}"/>
  <bookViews>
    <workbookView xWindow="-108" yWindow="-108" windowWidth="23256" windowHeight="12456" xr2:uid="{B8B0DAE1-1CC5-41DA-81AC-CB077ACDFDD3}"/>
  </bookViews>
  <sheets>
    <sheet name="retail-sales-raw" sheetId="1" r:id="rId1"/>
    <sheet name="Sheet1" sheetId="2" r:id="rId2"/>
    <sheet name="Sheet2" sheetId="3" r:id="rId3"/>
    <sheet name="Sheet3" sheetId="4" r:id="rId4"/>
  </sheets>
  <calcPr calcId="0"/>
  <pivotCaches>
    <pivotCache cacheId="6" r:id="rId5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<sst xmlns="http://schemas.openxmlformats.org/spreadsheetml/2006/main" count="109" uniqueCount="43">
  <si>
    <t>ORD1001</t>
  </si>
  <si>
    <t>Kolkata</t>
  </si>
  <si>
    <t>Laptop</t>
  </si>
  <si>
    <t>Electronics</t>
  </si>
  <si>
    <t>ORD1002</t>
  </si>
  <si>
    <t>Mumbai</t>
  </si>
  <si>
    <t>Mobile</t>
  </si>
  <si>
    <t>ORD1003</t>
  </si>
  <si>
    <t>Delhi</t>
  </si>
  <si>
    <t>Headphone</t>
  </si>
  <si>
    <t>Accessories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</si>
  <si>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</si>
  <si>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</si>
  <si>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</si>
  <si>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</si>
  <si>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</si>
  <si>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</si>
  <si>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</si>
  <si>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</si>
  <si>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</si>
  <si>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</si>
  <si>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</si>
  <si>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</si>
  <si>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</si>
  <si>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</si>
  <si>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</si>
  <si>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</si>
  <si>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</si>
  <si>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Order_ID</t>
  </si>
  <si>
    <t>Order_Date</t>
  </si>
  <si>
    <t>City</t>
  </si>
  <si>
    <t>Product</t>
  </si>
  <si>
    <t>Category</t>
  </si>
  <si>
    <t>Quantity</t>
  </si>
  <si>
    <t>Unit_Price</t>
  </si>
  <si>
    <t>Unit_Cost</t>
  </si>
  <si>
    <t>Sales</t>
  </si>
  <si>
    <t>Cost</t>
  </si>
  <si>
    <t>Profit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</si>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</sst>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LI" refreshedDate="46316.92325266204" createdVersion="8" refreshedVersion="8" minRefreshableVersion="3" recordCount="20" xr:uid="{A424E616-CB42-4A3D-9DE8-0066AEA909FF}">
  <cacheSource type="worksheet">
    <worksheetSource name="Table2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6-01-03T00:00:00" maxDate="2026-03-28T00:00:00"/>
    </cacheField>
    <cacheField name="City" numFmtId="0">
      <sharedItems count="3">
        <s v="Kolkata"/>
        <s v="Mumbai"/>
        <s v="Delhi"/>
      </sharedItems>
    </cacheField>
    <cacheField name="Product" numFmtId="0">
      <sharedItems count="3">
        <s v="Laptop"/>
        <s v="Mobile"/>
        <s v="Headphon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2200" maxValue="61000"/>
    </cacheField>
    <cacheField name="Unit_Cost" numFmtId="0">
      <sharedItems containsSemiMixedTypes="0" containsString="0" containsNumber="1" containsInteger="1" minValue="1300" maxValue="47000"/>
    </cacheField>
    <cacheField name="Sales" numFmtId="0">
      <sharedItems containsSemiMixedTypes="0" containsString="0" containsNumber="1" containsInteger="1" minValue="5200" maxValue="108000"/>
    </cacheField>
    <cacheField name="Cost" numFmtId="0">
      <sharedItems containsSemiMixedTypes="0" containsString="0" containsNumber="1" containsInteger="1" minValue="3100" maxValue="83000"/>
    </cacheField>
    <cacheField name="Profit" numFmtId="0">
      <sharedItems containsSemiMixedTypes="0" containsString="0" containsNumber="1" containsInteger="1" minValue="210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1001"/>
    <d v="2026-01-03T00:00:00"/>
    <x v="0"/>
    <x v="0"/>
    <s v="Electronics"/>
    <n v="1"/>
    <n v="55000"/>
    <n v="42000"/>
    <n v="55000"/>
    <n v="42000"/>
    <n v="13000"/>
  </r>
  <r>
    <s v="ORD1002"/>
    <d v="2026-01-05T00:00:00"/>
    <x v="1"/>
    <x v="1"/>
    <s v="Electronics"/>
    <n v="2"/>
    <n v="18000"/>
    <n v="14000"/>
    <n v="36000"/>
    <n v="28000"/>
    <n v="8000"/>
  </r>
  <r>
    <s v="ORD1003"/>
    <d v="2026-01-07T00:00:00"/>
    <x v="2"/>
    <x v="2"/>
    <s v="Accessories"/>
    <n v="3"/>
    <n v="2500"/>
    <n v="1500"/>
    <n v="7500"/>
    <n v="4500"/>
    <n v="3000"/>
  </r>
  <r>
    <s v="ORD1004"/>
    <d v="2026-01-12T00:00:00"/>
    <x v="0"/>
    <x v="1"/>
    <s v="Electronics"/>
    <n v="1"/>
    <n v="20000"/>
    <n v="15500"/>
    <n v="20000"/>
    <n v="15500"/>
    <n v="4500"/>
  </r>
  <r>
    <s v="ORD1005"/>
    <d v="2026-01-15T00:00:00"/>
    <x v="1"/>
    <x v="0"/>
    <s v="Electronics"/>
    <n v="1"/>
    <n v="60000"/>
    <n v="46000"/>
    <n v="60000"/>
    <n v="46000"/>
    <n v="14000"/>
  </r>
  <r>
    <s v="ORD1006"/>
    <d v="2026-01-18T00:00:00"/>
    <x v="2"/>
    <x v="2"/>
    <s v="Accessories"/>
    <n v="4"/>
    <n v="2200"/>
    <n v="1300"/>
    <n v="8800"/>
    <n v="5200"/>
    <n v="3600"/>
  </r>
  <r>
    <s v="ORD1007"/>
    <d v="2026-02-02T00:00:00"/>
    <x v="0"/>
    <x v="0"/>
    <s v="Electronics"/>
    <n v="2"/>
    <n v="54000"/>
    <n v="41500"/>
    <n v="108000"/>
    <n v="83000"/>
    <n v="25000"/>
  </r>
  <r>
    <s v="ORD1008"/>
    <d v="2026-02-04T00:00:00"/>
    <x v="1"/>
    <x v="2"/>
    <s v="Accessories"/>
    <n v="2"/>
    <n v="2600"/>
    <n v="1550"/>
    <n v="5200"/>
    <n v="3100"/>
    <n v="2100"/>
  </r>
  <r>
    <s v="ORD1009"/>
    <d v="2026-02-09T00:00:00"/>
    <x v="2"/>
    <x v="1"/>
    <s v="Electronics"/>
    <n v="2"/>
    <n v="19000"/>
    <n v="14500"/>
    <n v="38000"/>
    <n v="29000"/>
    <n v="9000"/>
  </r>
  <r>
    <s v="ORD1010"/>
    <d v="2026-02-13T00:00:00"/>
    <x v="0"/>
    <x v="2"/>
    <s v="Accessories"/>
    <n v="5"/>
    <n v="2400"/>
    <n v="1450"/>
    <n v="12000"/>
    <n v="7250"/>
    <n v="4750"/>
  </r>
  <r>
    <s v="ORD1011"/>
    <d v="2026-02-17T00:00:00"/>
    <x v="1"/>
    <x v="1"/>
    <s v="Electronics"/>
    <n v="1"/>
    <n v="18500"/>
    <n v="14200"/>
    <n v="18500"/>
    <n v="14200"/>
    <n v="4300"/>
  </r>
  <r>
    <s v="ORD1012"/>
    <d v="2026-02-21T00:00:00"/>
    <x v="2"/>
    <x v="0"/>
    <s v="Electronics"/>
    <n v="1"/>
    <n v="57000"/>
    <n v="43500"/>
    <n v="57000"/>
    <n v="43500"/>
    <n v="13500"/>
  </r>
  <r>
    <s v="ORD1013"/>
    <d v="2026-03-01T00:00:00"/>
    <x v="0"/>
    <x v="1"/>
    <s v="Electronics"/>
    <n v="3"/>
    <n v="19500"/>
    <n v="15000"/>
    <n v="58500"/>
    <n v="45000"/>
    <n v="13500"/>
  </r>
  <r>
    <s v="ORD1014"/>
    <d v="2026-03-05T00:00:00"/>
    <x v="1"/>
    <x v="0"/>
    <s v="Electronics"/>
    <n v="1"/>
    <n v="58000"/>
    <n v="44000"/>
    <n v="58000"/>
    <n v="44000"/>
    <n v="14000"/>
  </r>
  <r>
    <s v="ORD1015"/>
    <d v="2026-03-08T00:00:00"/>
    <x v="2"/>
    <x v="2"/>
    <s v="Accessories"/>
    <n v="2"/>
    <n v="2800"/>
    <n v="1700"/>
    <n v="5600"/>
    <n v="3400"/>
    <n v="2200"/>
  </r>
  <r>
    <s v="ORD1016"/>
    <d v="2026-03-11T00:00:00"/>
    <x v="0"/>
    <x v="0"/>
    <s v="Electronics"/>
    <n v="1"/>
    <n v="56000"/>
    <n v="43000"/>
    <n v="56000"/>
    <n v="43000"/>
    <n v="13000"/>
  </r>
  <r>
    <s v="ORD1017"/>
    <d v="2026-03-15T00:00:00"/>
    <x v="1"/>
    <x v="1"/>
    <s v="Electronics"/>
    <n v="2"/>
    <n v="20000"/>
    <n v="15500"/>
    <n v="40000"/>
    <n v="31000"/>
    <n v="9000"/>
  </r>
  <r>
    <s v="ORD1018"/>
    <d v="2026-03-19T00:00:00"/>
    <x v="2"/>
    <x v="1"/>
    <s v="Electronics"/>
    <n v="1"/>
    <n v="17500"/>
    <n v="13500"/>
    <n v="17500"/>
    <n v="13500"/>
    <n v="4000"/>
  </r>
  <r>
    <s v="ORD1019"/>
    <d v="2026-03-23T00:00:00"/>
    <x v="0"/>
    <x v="2"/>
    <s v="Accessories"/>
    <n v="3"/>
    <n v="2500"/>
    <n v="1500"/>
    <n v="7500"/>
    <n v="4500"/>
    <n v="3000"/>
  </r>
  <r>
    <s v="ORD1020"/>
    <d v="2026-03-27T00:00:00"/>
    <x v="1"/>
    <x v="0"/>
    <s v="Electronics"/>
    <n v="1"/>
    <n v="61000"/>
    <n v="47000"/>
    <n v="61000"/>
    <n v="47000"/>
    <n v="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A62A8-FE02-469D-8818-3B1898053F0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9B3BC-D3CC-4D90-B3EF-8E15B610A2C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B79EF-51D0-4B35-9D3E-12F716B51FA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A4149-F667-47D2-9624-A668F6E40A2C}" name="Table2" displayName="Table2" ref="A1:K21" totalsRowShown="0" headerRowDxfId="0" dataDxfId="1">
  <autoFilter ref="A1:K21" xr:uid="{EE0A4149-F667-47D2-9624-A668F6E40A2C}"/>
  <tableColumns count="11">
    <tableColumn id="1" xr3:uid="{B6A64F2A-23ED-46C3-A765-DDDD437448AC}" name="Order_ID" dataDxfId="12"/>
    <tableColumn id="2" xr3:uid="{E3FCBDBD-7162-490B-8155-1CC5FD450D2D}" name="Order_Date" dataDxfId="11"/>
    <tableColumn id="3" xr3:uid="{A12A1062-D841-4737-8315-AB7105257237}" name="City" dataDxfId="10"/>
    <tableColumn id="4" xr3:uid="{5B4C05A1-2F5A-492C-9512-52BFEE50BEDB}" name="Product" dataDxfId="9"/>
    <tableColumn id="5" xr3:uid="{697C9B54-9070-4303-A1C9-09B0852CEE44}" name="Category" dataDxfId="8"/>
    <tableColumn id="6" xr3:uid="{67FCF812-E981-4FC5-BF17-397D600C6BD1}" name="Quantity" dataDxfId="7"/>
    <tableColumn id="7" xr3:uid="{D20E4C2E-7DDC-42DE-AE7A-0154480DC1D0}" name="Unit_Price" dataDxfId="6"/>
    <tableColumn id="8" xr3:uid="{17E950DC-1D87-439D-AF8F-14AF6845AFBE}" name="Unit_Cost" dataDxfId="5"/>
    <tableColumn id="9" xr3:uid="{86897F5C-343B-4E38-98C3-2A2D5BA7B761}" name="Sales" dataDxfId="4">
      <calculatedColumnFormula>F2*G2</calculatedColumnFormula>
    </tableColumn>
    <tableColumn id="10" xr3:uid="{FE259DFF-1D99-4B2C-B64F-C3272662A85E}" name="Cost" dataDxfId="3">
      <calculatedColumnFormula>F2*H2</calculatedColumnFormula>
    </tableColumn>
    <tableColumn id="11" xr3:uid="{8D640DC7-F692-41D1-9F73-B3A56CEA6E99}" name="Profit" dataDxfId="2">
      <calculatedColumnFormula>I2-J2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516C-19FD-4976-B1FD-9A9D529E3175}">
  <dimension ref="A1:K22"/>
  <sheetViews>
    <sheetView tabSelected="1" workbookViewId="0">
      <selection sqref="A1:K21"/>
    </sheetView>
  </sheetViews>
  <sheetFormatPr defaultRowHeight="14.4" x14ac:dyDescent="0.3"/>
  <cols>
    <col min="1" max="1" width="13.44140625" customWidth="1"/>
    <col min="2" max="2" width="15.44140625" customWidth="1"/>
    <col min="3" max="3" width="11.77734375" customWidth="1"/>
    <col min="4" max="4" width="16.88671875" customWidth="1"/>
    <col min="5" max="5" width="14.21875" customWidth="1"/>
    <col min="6" max="6" width="11.77734375" customWidth="1"/>
    <col min="7" max="7" width="13.77734375" customWidth="1"/>
    <col min="8" max="8" width="13.21875" customWidth="1"/>
    <col min="9" max="9" width="11.33203125" customWidth="1"/>
    <col min="10" max="10" width="10.5546875" customWidth="1"/>
    <col min="11" max="11" width="11.109375" customWidth="1"/>
  </cols>
  <sheetData>
    <row r="1" spans="1:11" ht="18" x14ac:dyDescent="0.3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 ht="18" x14ac:dyDescent="0.3">
      <c r="A2" s="2" t="s">
        <v>0</v>
      </c>
      <c r="B2" s="3">
        <v>46025</v>
      </c>
      <c r="C2" s="2" t="s">
        <v>1</v>
      </c>
      <c r="D2" s="2" t="s">
        <v>2</v>
      </c>
      <c r="E2" s="2" t="s">
        <v>3</v>
      </c>
      <c r="F2" s="2">
        <v>1</v>
      </c>
      <c r="G2" s="2">
        <v>55000</v>
      </c>
      <c r="H2" s="2">
        <v>42000</v>
      </c>
      <c r="I2" s="2">
        <f>F2*G2</f>
        <v>55000</v>
      </c>
      <c r="J2" s="2">
        <f>F2*H2</f>
        <v>42000</v>
      </c>
      <c r="K2" s="2">
        <f>I2-J2</f>
        <v>13000</v>
      </c>
    </row>
    <row r="3" spans="1:11" ht="18" x14ac:dyDescent="0.3">
      <c r="A3" s="2" t="s">
        <v>4</v>
      </c>
      <c r="B3" s="3">
        <v>46027</v>
      </c>
      <c r="C3" s="2" t="s">
        <v>5</v>
      </c>
      <c r="D3" s="2" t="s">
        <v>6</v>
      </c>
      <c r="E3" s="2" t="s">
        <v>3</v>
      </c>
      <c r="F3" s="2">
        <v>2</v>
      </c>
      <c r="G3" s="2">
        <v>18000</v>
      </c>
      <c r="H3" s="2">
        <v>14000</v>
      </c>
      <c r="I3" s="2">
        <f t="shared" ref="I3:I21" si="0">F3*G3</f>
        <v>36000</v>
      </c>
      <c r="J3" s="2">
        <f t="shared" ref="J3:J21" si="1">F3*H3</f>
        <v>28000</v>
      </c>
      <c r="K3" s="2">
        <f t="shared" ref="K3:K21" si="2">I3-J3</f>
        <v>8000</v>
      </c>
    </row>
    <row r="4" spans="1:11" ht="18" x14ac:dyDescent="0.3">
      <c r="A4" s="2" t="s">
        <v>7</v>
      </c>
      <c r="B4" s="3">
        <v>46029</v>
      </c>
      <c r="C4" s="2" t="s">
        <v>8</v>
      </c>
      <c r="D4" s="2" t="s">
        <v>9</v>
      </c>
      <c r="E4" s="2" t="s">
        <v>10</v>
      </c>
      <c r="F4" s="2">
        <v>3</v>
      </c>
      <c r="G4" s="2">
        <v>2500</v>
      </c>
      <c r="H4" s="2">
        <v>1500</v>
      </c>
      <c r="I4" s="2">
        <f t="shared" si="0"/>
        <v>7500</v>
      </c>
      <c r="J4" s="2">
        <f t="shared" si="1"/>
        <v>4500</v>
      </c>
      <c r="K4" s="2">
        <f t="shared" si="2"/>
        <v>3000</v>
      </c>
    </row>
    <row r="5" spans="1:11" ht="18" x14ac:dyDescent="0.3">
      <c r="A5" s="2" t="s">
        <v>11</v>
      </c>
      <c r="B5" s="3">
        <v>46034</v>
      </c>
      <c r="C5" s="2" t="s">
        <v>1</v>
      </c>
      <c r="D5" s="2" t="s">
        <v>6</v>
      </c>
      <c r="E5" s="2" t="s">
        <v>3</v>
      </c>
      <c r="F5" s="2">
        <v>1</v>
      </c>
      <c r="G5" s="2">
        <v>20000</v>
      </c>
      <c r="H5" s="2">
        <v>15500</v>
      </c>
      <c r="I5" s="2">
        <f t="shared" si="0"/>
        <v>20000</v>
      </c>
      <c r="J5" s="2">
        <f t="shared" si="1"/>
        <v>15500</v>
      </c>
      <c r="K5" s="2">
        <f t="shared" si="2"/>
        <v>4500</v>
      </c>
    </row>
    <row r="6" spans="1:11" ht="18" x14ac:dyDescent="0.3">
      <c r="A6" s="2" t="s">
        <v>12</v>
      </c>
      <c r="B6" s="3">
        <v>46037</v>
      </c>
      <c r="C6" s="2" t="s">
        <v>5</v>
      </c>
      <c r="D6" s="2" t="s">
        <v>2</v>
      </c>
      <c r="E6" s="2" t="s">
        <v>3</v>
      </c>
      <c r="F6" s="2">
        <v>1</v>
      </c>
      <c r="G6" s="2">
        <v>60000</v>
      </c>
      <c r="H6" s="2">
        <v>46000</v>
      </c>
      <c r="I6" s="2">
        <f t="shared" si="0"/>
        <v>60000</v>
      </c>
      <c r="J6" s="2">
        <f t="shared" si="1"/>
        <v>46000</v>
      </c>
      <c r="K6" s="2">
        <f t="shared" si="2"/>
        <v>14000</v>
      </c>
    </row>
    <row r="7" spans="1:11" ht="18" x14ac:dyDescent="0.3">
      <c r="A7" s="2" t="s">
        <v>13</v>
      </c>
      <c r="B7" s="3">
        <v>46040</v>
      </c>
      <c r="C7" s="2" t="s">
        <v>8</v>
      </c>
      <c r="D7" s="2" t="s">
        <v>9</v>
      </c>
      <c r="E7" s="2" t="s">
        <v>10</v>
      </c>
      <c r="F7" s="2">
        <v>4</v>
      </c>
      <c r="G7" s="2">
        <v>2200</v>
      </c>
      <c r="H7" s="2">
        <v>1300</v>
      </c>
      <c r="I7" s="2">
        <f t="shared" si="0"/>
        <v>8800</v>
      </c>
      <c r="J7" s="2">
        <f t="shared" si="1"/>
        <v>5200</v>
      </c>
      <c r="K7" s="2">
        <f t="shared" si="2"/>
        <v>3600</v>
      </c>
    </row>
    <row r="8" spans="1:11" ht="18" x14ac:dyDescent="0.3">
      <c r="A8" s="2" t="s">
        <v>14</v>
      </c>
      <c r="B8" s="3">
        <v>46055</v>
      </c>
      <c r="C8" s="2" t="s">
        <v>1</v>
      </c>
      <c r="D8" s="2" t="s">
        <v>2</v>
      </c>
      <c r="E8" s="2" t="s">
        <v>3</v>
      </c>
      <c r="F8" s="2">
        <v>2</v>
      </c>
      <c r="G8" s="2">
        <v>54000</v>
      </c>
      <c r="H8" s="2">
        <v>41500</v>
      </c>
      <c r="I8" s="2">
        <f t="shared" si="0"/>
        <v>108000</v>
      </c>
      <c r="J8" s="2">
        <f t="shared" si="1"/>
        <v>83000</v>
      </c>
      <c r="K8" s="2">
        <f t="shared" si="2"/>
        <v>25000</v>
      </c>
    </row>
    <row r="9" spans="1:11" ht="18" x14ac:dyDescent="0.3">
      <c r="A9" s="2" t="s">
        <v>15</v>
      </c>
      <c r="B9" s="3">
        <v>46057</v>
      </c>
      <c r="C9" s="2" t="s">
        <v>5</v>
      </c>
      <c r="D9" s="2" t="s">
        <v>9</v>
      </c>
      <c r="E9" s="2" t="s">
        <v>10</v>
      </c>
      <c r="F9" s="2">
        <v>2</v>
      </c>
      <c r="G9" s="2">
        <v>2600</v>
      </c>
      <c r="H9" s="2">
        <v>1550</v>
      </c>
      <c r="I9" s="2">
        <f t="shared" si="0"/>
        <v>5200</v>
      </c>
      <c r="J9" s="2">
        <f t="shared" si="1"/>
        <v>3100</v>
      </c>
      <c r="K9" s="2">
        <f t="shared" si="2"/>
        <v>2100</v>
      </c>
    </row>
    <row r="10" spans="1:11" ht="18" x14ac:dyDescent="0.3">
      <c r="A10" s="2" t="s">
        <v>16</v>
      </c>
      <c r="B10" s="3">
        <v>46062</v>
      </c>
      <c r="C10" s="2" t="s">
        <v>8</v>
      </c>
      <c r="D10" s="2" t="s">
        <v>6</v>
      </c>
      <c r="E10" s="2" t="s">
        <v>3</v>
      </c>
      <c r="F10" s="2">
        <v>2</v>
      </c>
      <c r="G10" s="2">
        <v>19000</v>
      </c>
      <c r="H10" s="2">
        <v>14500</v>
      </c>
      <c r="I10" s="2">
        <f t="shared" si="0"/>
        <v>38000</v>
      </c>
      <c r="J10" s="2">
        <f t="shared" si="1"/>
        <v>29000</v>
      </c>
      <c r="K10" s="2">
        <f t="shared" si="2"/>
        <v>9000</v>
      </c>
    </row>
    <row r="11" spans="1:11" ht="18" x14ac:dyDescent="0.3">
      <c r="A11" s="2" t="s">
        <v>17</v>
      </c>
      <c r="B11" s="3">
        <v>46066</v>
      </c>
      <c r="C11" s="2" t="s">
        <v>1</v>
      </c>
      <c r="D11" s="2" t="s">
        <v>9</v>
      </c>
      <c r="E11" s="2" t="s">
        <v>10</v>
      </c>
      <c r="F11" s="2">
        <v>5</v>
      </c>
      <c r="G11" s="2">
        <v>2400</v>
      </c>
      <c r="H11" s="2">
        <v>1450</v>
      </c>
      <c r="I11" s="2">
        <f t="shared" si="0"/>
        <v>12000</v>
      </c>
      <c r="J11" s="2">
        <f t="shared" si="1"/>
        <v>7250</v>
      </c>
      <c r="K11" s="2">
        <f t="shared" si="2"/>
        <v>4750</v>
      </c>
    </row>
    <row r="12" spans="1:11" ht="18" x14ac:dyDescent="0.3">
      <c r="A12" s="2" t="s">
        <v>18</v>
      </c>
      <c r="B12" s="3">
        <v>46070</v>
      </c>
      <c r="C12" s="2" t="s">
        <v>5</v>
      </c>
      <c r="D12" s="2" t="s">
        <v>6</v>
      </c>
      <c r="E12" s="2" t="s">
        <v>3</v>
      </c>
      <c r="F12" s="2">
        <v>1</v>
      </c>
      <c r="G12" s="2">
        <v>18500</v>
      </c>
      <c r="H12" s="2">
        <v>14200</v>
      </c>
      <c r="I12" s="2">
        <f t="shared" si="0"/>
        <v>18500</v>
      </c>
      <c r="J12" s="2">
        <f t="shared" si="1"/>
        <v>14200</v>
      </c>
      <c r="K12" s="2">
        <f t="shared" si="2"/>
        <v>4300</v>
      </c>
    </row>
    <row r="13" spans="1:11" ht="18" x14ac:dyDescent="0.3">
      <c r="A13" s="2" t="s">
        <v>19</v>
      </c>
      <c r="B13" s="3">
        <v>46074</v>
      </c>
      <c r="C13" s="2" t="s">
        <v>8</v>
      </c>
      <c r="D13" s="2" t="s">
        <v>2</v>
      </c>
      <c r="E13" s="2" t="s">
        <v>3</v>
      </c>
      <c r="F13" s="2">
        <v>1</v>
      </c>
      <c r="G13" s="2">
        <v>57000</v>
      </c>
      <c r="H13" s="2">
        <v>43500</v>
      </c>
      <c r="I13" s="2">
        <f t="shared" si="0"/>
        <v>57000</v>
      </c>
      <c r="J13" s="2">
        <f t="shared" si="1"/>
        <v>43500</v>
      </c>
      <c r="K13" s="2">
        <f t="shared" si="2"/>
        <v>13500</v>
      </c>
    </row>
    <row r="14" spans="1:11" ht="18" x14ac:dyDescent="0.3">
      <c r="A14" s="2" t="s">
        <v>20</v>
      </c>
      <c r="B14" s="3">
        <v>46082</v>
      </c>
      <c r="C14" s="2" t="s">
        <v>1</v>
      </c>
      <c r="D14" s="2" t="s">
        <v>6</v>
      </c>
      <c r="E14" s="2" t="s">
        <v>3</v>
      </c>
      <c r="F14" s="2">
        <v>3</v>
      </c>
      <c r="G14" s="2">
        <v>19500</v>
      </c>
      <c r="H14" s="2">
        <v>15000</v>
      </c>
      <c r="I14" s="2">
        <f t="shared" si="0"/>
        <v>58500</v>
      </c>
      <c r="J14" s="2">
        <f t="shared" si="1"/>
        <v>45000</v>
      </c>
      <c r="K14" s="2">
        <f t="shared" si="2"/>
        <v>13500</v>
      </c>
    </row>
    <row r="15" spans="1:11" ht="18" x14ac:dyDescent="0.3">
      <c r="A15" s="2" t="s">
        <v>21</v>
      </c>
      <c r="B15" s="3">
        <v>46086</v>
      </c>
      <c r="C15" s="2" t="s">
        <v>5</v>
      </c>
      <c r="D15" s="2" t="s">
        <v>2</v>
      </c>
      <c r="E15" s="2" t="s">
        <v>3</v>
      </c>
      <c r="F15" s="2">
        <v>1</v>
      </c>
      <c r="G15" s="2">
        <v>58000</v>
      </c>
      <c r="H15" s="2">
        <v>44000</v>
      </c>
      <c r="I15" s="2">
        <f t="shared" si="0"/>
        <v>58000</v>
      </c>
      <c r="J15" s="2">
        <f t="shared" si="1"/>
        <v>44000</v>
      </c>
      <c r="K15" s="2">
        <f t="shared" si="2"/>
        <v>14000</v>
      </c>
    </row>
    <row r="16" spans="1:11" ht="18" x14ac:dyDescent="0.3">
      <c r="A16" s="2" t="s">
        <v>22</v>
      </c>
      <c r="B16" s="3">
        <v>46089</v>
      </c>
      <c r="C16" s="2" t="s">
        <v>8</v>
      </c>
      <c r="D16" s="2" t="s">
        <v>9</v>
      </c>
      <c r="E16" s="2" t="s">
        <v>10</v>
      </c>
      <c r="F16" s="2">
        <v>2</v>
      </c>
      <c r="G16" s="2">
        <v>2800</v>
      </c>
      <c r="H16" s="2">
        <v>1700</v>
      </c>
      <c r="I16" s="2">
        <f t="shared" si="0"/>
        <v>5600</v>
      </c>
      <c r="J16" s="2">
        <f t="shared" si="1"/>
        <v>3400</v>
      </c>
      <c r="K16" s="2">
        <f t="shared" si="2"/>
        <v>2200</v>
      </c>
    </row>
    <row r="17" spans="1:11" ht="18" x14ac:dyDescent="0.3">
      <c r="A17" s="2" t="s">
        <v>23</v>
      </c>
      <c r="B17" s="3">
        <v>46092</v>
      </c>
      <c r="C17" s="2" t="s">
        <v>1</v>
      </c>
      <c r="D17" s="2" t="s">
        <v>2</v>
      </c>
      <c r="E17" s="2" t="s">
        <v>3</v>
      </c>
      <c r="F17" s="2">
        <v>1</v>
      </c>
      <c r="G17" s="2">
        <v>56000</v>
      </c>
      <c r="H17" s="2">
        <v>43000</v>
      </c>
      <c r="I17" s="2">
        <f t="shared" si="0"/>
        <v>56000</v>
      </c>
      <c r="J17" s="2">
        <f t="shared" si="1"/>
        <v>43000</v>
      </c>
      <c r="K17" s="2">
        <f t="shared" si="2"/>
        <v>13000</v>
      </c>
    </row>
    <row r="18" spans="1:11" ht="18" x14ac:dyDescent="0.3">
      <c r="A18" s="2" t="s">
        <v>24</v>
      </c>
      <c r="B18" s="3">
        <v>46096</v>
      </c>
      <c r="C18" s="2" t="s">
        <v>5</v>
      </c>
      <c r="D18" s="2" t="s">
        <v>6</v>
      </c>
      <c r="E18" s="2" t="s">
        <v>3</v>
      </c>
      <c r="F18" s="2">
        <v>2</v>
      </c>
      <c r="G18" s="2">
        <v>20000</v>
      </c>
      <c r="H18" s="2">
        <v>15500</v>
      </c>
      <c r="I18" s="2">
        <f t="shared" si="0"/>
        <v>40000</v>
      </c>
      <c r="J18" s="2">
        <f t="shared" si="1"/>
        <v>31000</v>
      </c>
      <c r="K18" s="2">
        <f t="shared" si="2"/>
        <v>9000</v>
      </c>
    </row>
    <row r="19" spans="1:11" ht="18" x14ac:dyDescent="0.3">
      <c r="A19" s="2" t="s">
        <v>25</v>
      </c>
      <c r="B19" s="3">
        <v>46100</v>
      </c>
      <c r="C19" s="2" t="s">
        <v>8</v>
      </c>
      <c r="D19" s="2" t="s">
        <v>6</v>
      </c>
      <c r="E19" s="2" t="s">
        <v>3</v>
      </c>
      <c r="F19" s="2">
        <v>1</v>
      </c>
      <c r="G19" s="2">
        <v>17500</v>
      </c>
      <c r="H19" s="2">
        <v>13500</v>
      </c>
      <c r="I19" s="2">
        <f t="shared" si="0"/>
        <v>17500</v>
      </c>
      <c r="J19" s="2">
        <f t="shared" si="1"/>
        <v>13500</v>
      </c>
      <c r="K19" s="2">
        <f t="shared" si="2"/>
        <v>4000</v>
      </c>
    </row>
    <row r="20" spans="1:11" ht="18" x14ac:dyDescent="0.3">
      <c r="A20" s="2" t="s">
        <v>26</v>
      </c>
      <c r="B20" s="3">
        <v>46104</v>
      </c>
      <c r="C20" s="2" t="s">
        <v>1</v>
      </c>
      <c r="D20" s="2" t="s">
        <v>9</v>
      </c>
      <c r="E20" s="2" t="s">
        <v>10</v>
      </c>
      <c r="F20" s="2">
        <v>3</v>
      </c>
      <c r="G20" s="2">
        <v>2500</v>
      </c>
      <c r="H20" s="2">
        <v>1500</v>
      </c>
      <c r="I20" s="2">
        <f t="shared" si="0"/>
        <v>7500</v>
      </c>
      <c r="J20" s="2">
        <f t="shared" si="1"/>
        <v>4500</v>
      </c>
      <c r="K20" s="2">
        <f t="shared" si="2"/>
        <v>3000</v>
      </c>
    </row>
    <row r="21" spans="1:11" ht="18" x14ac:dyDescent="0.3">
      <c r="A21" s="2" t="s">
        <v>27</v>
      </c>
      <c r="B21" s="3">
        <v>46108</v>
      </c>
      <c r="C21" s="2" t="s">
        <v>5</v>
      </c>
      <c r="D21" s="2" t="s">
        <v>2</v>
      </c>
      <c r="E21" s="2" t="s">
        <v>3</v>
      </c>
      <c r="F21" s="2">
        <v>1</v>
      </c>
      <c r="G21" s="2">
        <v>61000</v>
      </c>
      <c r="H21" s="2">
        <v>47000</v>
      </c>
      <c r="I21" s="2">
        <f t="shared" si="0"/>
        <v>61000</v>
      </c>
      <c r="J21" s="2">
        <f t="shared" si="1"/>
        <v>47000</v>
      </c>
      <c r="K21" s="2">
        <f t="shared" si="2"/>
        <v>14000</v>
      </c>
    </row>
    <row r="22" spans="1:11" x14ac:dyDescent="0.3">
      <c r="B22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2044-6718-41B4-BADC-81EE9B4286C4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39</v>
      </c>
      <c r="B3" t="s">
        <v>41</v>
      </c>
    </row>
    <row r="4" spans="1:2" x14ac:dyDescent="0.3">
      <c r="A4" s="5" t="s">
        <v>9</v>
      </c>
      <c r="B4" s="6">
        <v>46600</v>
      </c>
    </row>
    <row r="5" spans="1:2" x14ac:dyDescent="0.3">
      <c r="A5" s="5" t="s">
        <v>2</v>
      </c>
      <c r="B5" s="6">
        <v>455000</v>
      </c>
    </row>
    <row r="6" spans="1:2" x14ac:dyDescent="0.3">
      <c r="A6" s="5" t="s">
        <v>6</v>
      </c>
      <c r="B6" s="6">
        <v>228500</v>
      </c>
    </row>
    <row r="7" spans="1:2" x14ac:dyDescent="0.3">
      <c r="A7" s="5" t="s">
        <v>40</v>
      </c>
      <c r="B7" s="6">
        <v>730100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39CD-7C17-4ADE-8FB5-BDAD492864A8}">
  <dimension ref="A3:B7"/>
  <sheetViews>
    <sheetView workbookViewId="0">
      <selection activeCell="D12" sqref="D12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39</v>
      </c>
      <c r="B3" t="s">
        <v>41</v>
      </c>
    </row>
    <row r="4" spans="1:2" x14ac:dyDescent="0.3">
      <c r="A4" s="5" t="s">
        <v>8</v>
      </c>
      <c r="B4" s="6">
        <v>134400</v>
      </c>
    </row>
    <row r="5" spans="1:2" x14ac:dyDescent="0.3">
      <c r="A5" s="5" t="s">
        <v>1</v>
      </c>
      <c r="B5" s="6">
        <v>317000</v>
      </c>
    </row>
    <row r="6" spans="1:2" x14ac:dyDescent="0.3">
      <c r="A6" s="5" t="s">
        <v>5</v>
      </c>
      <c r="B6" s="6">
        <v>278700</v>
      </c>
    </row>
    <row r="7" spans="1:2" x14ac:dyDescent="0.3">
      <c r="A7" s="5" t="s">
        <v>40</v>
      </c>
      <c r="B7" s="6">
        <v>730100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9400-79C5-40A9-AEBE-5DD7271DFA2A}">
  <dimension ref="A3:B7"/>
  <sheetViews>
    <sheetView workbookViewId="0">
      <selection activeCell="E8" sqref="E8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39</v>
      </c>
      <c r="B3" t="s">
        <v>42</v>
      </c>
    </row>
    <row r="4" spans="1:2" x14ac:dyDescent="0.3">
      <c r="A4" s="5" t="s">
        <v>9</v>
      </c>
      <c r="B4" s="6">
        <v>18650</v>
      </c>
    </row>
    <row r="5" spans="1:2" x14ac:dyDescent="0.3">
      <c r="A5" s="5" t="s">
        <v>2</v>
      </c>
      <c r="B5" s="6">
        <v>106500</v>
      </c>
    </row>
    <row r="6" spans="1:2" x14ac:dyDescent="0.3">
      <c r="A6" s="5" t="s">
        <v>6</v>
      </c>
      <c r="B6" s="6">
        <v>52300</v>
      </c>
    </row>
    <row r="7" spans="1:2" x14ac:dyDescent="0.3">
      <c r="A7" s="5" t="s">
        <v>40</v>
      </c>
      <c r="B7" s="6">
        <v>177450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retail-sales-raw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 Paul</dc:creator>
  <cp:lastModifiedBy>Monali Paul</cp:lastModifiedBy>
  <dcterms:created xsi:type="dcterms:W3CDTF">2026-10-21T16:46:31Z</dcterms:created>
  <dcterms:modified xsi:type="dcterms:W3CDTF">2026-10-21T16:46:31Z</dcterms:modified>
</cp:coreProperties>
</file>